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bf04e5114b1fe/Desktop/Taller de Integracion 2/Actividad 1/Evaluacion1_Hito1_EmilioCatalan/Analisis/"/>
    </mc:Choice>
  </mc:AlternateContent>
  <xr:revisionPtr revIDLastSave="165" documentId="8_{6E847FC0-B8DB-4BFE-B0CA-7686FA632CCA}" xr6:coauthVersionLast="47" xr6:coauthVersionMax="47" xr10:uidLastSave="{B34E9404-15B3-411C-A860-F8C4A5621A5C}"/>
  <bookViews>
    <workbookView xWindow="-120" yWindow="-120" windowWidth="29040" windowHeight="15720" xr2:uid="{5ED35C46-B44E-4131-BCD3-1C7AC522A33E}"/>
  </bookViews>
  <sheets>
    <sheet name="Anali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6" i="1"/>
  <c r="J5" i="1"/>
  <c r="G16" i="1"/>
  <c r="G17" i="1"/>
  <c r="G18" i="1"/>
  <c r="G19" i="1"/>
  <c r="G20" i="1"/>
  <c r="G21" i="1"/>
  <c r="G22" i="1"/>
  <c r="G23" i="1"/>
  <c r="G15" i="1"/>
  <c r="F16" i="1"/>
  <c r="F17" i="1"/>
  <c r="F18" i="1"/>
  <c r="F19" i="1"/>
  <c r="F20" i="1"/>
  <c r="F21" i="1"/>
  <c r="F22" i="1"/>
  <c r="F23" i="1"/>
  <c r="F15" i="1"/>
  <c r="D16" i="1"/>
  <c r="E16" i="1" s="1"/>
  <c r="D17" i="1"/>
  <c r="D18" i="1"/>
  <c r="D19" i="1"/>
  <c r="D20" i="1"/>
  <c r="D21" i="1"/>
  <c r="D22" i="1"/>
  <c r="D23" i="1"/>
  <c r="E15" i="1"/>
  <c r="E17" i="1"/>
  <c r="E18" i="1"/>
  <c r="E19" i="1"/>
  <c r="E20" i="1"/>
  <c r="E21" i="1"/>
  <c r="E22" i="1"/>
  <c r="E23" i="1"/>
  <c r="C16" i="1"/>
  <c r="C17" i="1"/>
  <c r="C18" i="1"/>
  <c r="C19" i="1"/>
  <c r="C20" i="1"/>
  <c r="C21" i="1"/>
  <c r="C22" i="1"/>
  <c r="C23" i="1"/>
  <c r="C15" i="1"/>
  <c r="D15" i="1"/>
  <c r="B10" i="1"/>
  <c r="B9" i="1"/>
</calcChain>
</file>

<file path=xl/sharedStrings.xml><?xml version="1.0" encoding="utf-8"?>
<sst xmlns="http://schemas.openxmlformats.org/spreadsheetml/2006/main" count="37" uniqueCount="34">
  <si>
    <t>Análisis de carga y deflexión de una viga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</si>
  <si>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</si>
  <si>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</si>
  <si>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</si>
  <si>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</si>
  <si>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</si>
  <si>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</si>
  <si>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</si>
  <si>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</si>
  <si>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</t>
  </si>
  <si>
    <t>h</t>
  </si>
  <si>
    <t>Altura de la sección</t>
  </si>
  <si>
    <t>E original</t>
  </si>
  <si>
    <t>GPa</t>
  </si>
  <si>
    <t>Módulo de elasticidad proporcionado</t>
  </si>
  <si>
    <t>E convertido</t>
  </si>
  <si>
    <t>Pa</t>
  </si>
  <si>
    <t>Conversión de GPa a Pa</t>
  </si>
  <si>
    <t>I</t>
  </si>
  <si>
    <t>m⁴</t>
  </si>
  <si>
    <t>Segundo momento de área</t>
  </si>
  <si>
    <t>Comparación de deflexiones</t>
  </si>
  <si>
    <t>Carga P (kN)</t>
  </si>
  <si>
    <t>Deflexión medida (mm)</t>
  </si>
  <si>
    <t>Carga P (N)</t>
  </si>
  <si>
    <t>Deflexión teórica (m)</t>
  </si>
  <si>
    <t>Deflexión teórica (mm)</t>
  </si>
  <si>
    <t>Diferencia relativa (%)</t>
  </si>
  <si>
    <t>Deflexión medida / P (mm/kN)</t>
  </si>
  <si>
    <t>Resumen de pendientes</t>
  </si>
  <si>
    <t>Pendiente teórica (mm/kN)</t>
  </si>
  <si>
    <t>Pendiente experimental (mm/kN)</t>
  </si>
  <si>
    <t>Conclusión</t>
  </si>
  <si>
    <t>Los resultados muestran una buena concordancia entre la deflexión medida y la deflexión teórica. La pendiente experimental es de 0,05117 mm/kN y la pendiente teórica de 0,05000 mm/kN, obteniéndose una diferencia relativa de 2,33 %. Esto indica que la relación carga-deflexión presenta un comportamiento prácticamente lineal y consistente con el modelo teórico.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</si>
</sst>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1" i="0" u="none" strike="noStrike" baseline="0"/>
              <a:t>Comparación carga-deflexión</a:t>
            </a:r>
            <a:endParaRPr lang="es-C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Deflexión Medida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Analisis!$A$15:$A$23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Analisis!$B$15:$B$23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84-458A-814F-A8ACF9E67C17}"/>
            </c:ext>
          </c:extLst>
        </c:ser>
        <c:ser>
          <c:idx val="1"/>
          <c:order val="1"/>
          <c:tx>
            <c:v>Deflexión teórica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Analisis!$A$15:$A$23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Analisis!$E$15:$E$23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84-458A-814F-A8ACF9E67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29887"/>
        <c:axId val="488279855"/>
      </c:scatterChart>
      <c:valAx>
        <c:axId val="5470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1" i="0" u="none" strike="noStrike" baseline="0"/>
                  <a:t>Carga P (kN)</a:t>
                </a:r>
                <a:endParaRPr lang="es-CL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8279855"/>
        <c:crosses val="autoZero"/>
        <c:crossBetween val="midCat"/>
      </c:valAx>
      <c:valAx>
        <c:axId val="4882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1" i="0" u="none" strike="noStrike" baseline="0"/>
                  <a:t>Deflexión δ (mm)</a:t>
                </a:r>
                <a:endParaRPr lang="es-CL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7029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24</xdr:row>
      <xdr:rowOff>119062</xdr:rowOff>
    </xdr:from>
    <xdr:to>
      <xdr:col>5</xdr:col>
      <xdr:colOff>962025</xdr:colOff>
      <xdr:row>39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647B88-D944-FEAC-0947-21753D358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C9A2-3668-414C-97E4-6D25D1075007}">
  <dimension ref="A1:J27"/>
  <sheetViews>
    <sheetView tabSelected="1" topLeftCell="A7" workbookViewId="0">
      <selection activeCell="I15" sqref="I15"/>
    </sheetView>
  </sheetViews>
  <sheetFormatPr baseColWidth="10" defaultRowHeight="15"/>
  <cols>
    <col min="1" max="1" width="59.140625" customWidth="1"/>
    <col min="2" max="2" width="22" customWidth="1"/>
    <col min="4" max="4" width="35.140625" customWidth="1"/>
    <col min="5" max="5" width="23.28515625" customWidth="1"/>
    <col min="6" max="6" width="19" bestFit="1" customWidth="1"/>
    <col min="7" max="7" width="26.140625" bestFit="1" customWidth="1"/>
    <col min="9" max="9" width="28.5703125" bestFit="1" customWidth="1"/>
  </cols>
  <sheetData>
    <row r="1" spans="1:10">
      <c r="A1" s="2" t="s">
        <v>0</v>
      </c>
    </row>
    <row r="4" spans="1:10">
      <c r="A4" s="4" t="s">
        <v>1</v>
      </c>
      <c r="B4" s="4" t="s">
        <v>2</v>
      </c>
      <c r="C4" s="4" t="s">
        <v>3</v>
      </c>
      <c r="D4" s="4" t="s">
        <v>4</v>
      </c>
      <c r="I4" s="14" t="s">
        <v>29</v>
      </c>
      <c r="J4" s="14"/>
    </row>
    <row r="5" spans="1:10">
      <c r="A5" s="3" t="s">
        <v>5</v>
      </c>
      <c r="B5" s="3">
        <v>4</v>
      </c>
      <c r="C5" s="3" t="s">
        <v>6</v>
      </c>
      <c r="D5" s="3" t="s">
        <v>7</v>
      </c>
      <c r="I5" s="10" t="s">
        <v>30</v>
      </c>
      <c r="J5" s="10">
        <f>(B5^3/(48*B9*B10))*1000000</f>
        <v>4.9999999999999989E-2</v>
      </c>
    </row>
    <row r="6" spans="1:10">
      <c r="A6" s="3" t="s">
        <v>8</v>
      </c>
      <c r="B6" s="3">
        <v>0.2</v>
      </c>
      <c r="C6" s="3" t="s">
        <v>6</v>
      </c>
      <c r="D6" s="3" t="s">
        <v>9</v>
      </c>
      <c r="I6" s="10" t="s">
        <v>31</v>
      </c>
      <c r="J6" s="10">
        <f>SLOPE(B16:B23,A16:A23)</f>
        <v>5.1166666666666659E-2</v>
      </c>
    </row>
    <row r="7" spans="1:10">
      <c r="A7" s="3" t="s">
        <v>10</v>
      </c>
      <c r="B7" s="3">
        <v>0.4</v>
      </c>
      <c r="C7" s="3" t="s">
        <v>6</v>
      </c>
      <c r="D7" s="3" t="s">
        <v>11</v>
      </c>
      <c r="I7" s="10" t="s">
        <v>27</v>
      </c>
      <c r="J7" s="11">
        <f>ABS((J6-J5)/J5)</f>
        <v>2.3333333333333404E-2</v>
      </c>
    </row>
    <row r="8" spans="1:10">
      <c r="A8" s="3" t="s">
        <v>12</v>
      </c>
      <c r="B8" s="3">
        <v>25</v>
      </c>
      <c r="C8" s="3" t="s">
        <v>13</v>
      </c>
      <c r="D8" s="3" t="s">
        <v>14</v>
      </c>
    </row>
    <row r="9" spans="1:10">
      <c r="A9" s="3" t="s">
        <v>15</v>
      </c>
      <c r="B9" s="3">
        <f>B8*10^9</f>
        <v>25000000000</v>
      </c>
      <c r="C9" s="3" t="s">
        <v>16</v>
      </c>
      <c r="D9" s="3" t="s">
        <v>17</v>
      </c>
      <c r="H9" s="1"/>
      <c r="I9" s="5"/>
    </row>
    <row r="10" spans="1:10">
      <c r="A10" s="6" t="s">
        <v>18</v>
      </c>
      <c r="B10" s="7">
        <f>B6*B7^3/12</f>
        <v>1.0666666666666669E-3</v>
      </c>
      <c r="C10" s="6" t="s">
        <v>19</v>
      </c>
      <c r="D10" s="6" t="s">
        <v>20</v>
      </c>
      <c r="H10" s="8"/>
      <c r="I10" s="1"/>
      <c r="J10" s="1"/>
    </row>
    <row r="11" spans="1:10">
      <c r="H11" s="8"/>
      <c r="I11" s="1"/>
      <c r="J11" s="1"/>
    </row>
    <row r="12" spans="1:10">
      <c r="H12" s="8"/>
      <c r="I12" s="1"/>
      <c r="J12" s="1"/>
    </row>
    <row r="13" spans="1:10">
      <c r="A13" s="13" t="s">
        <v>21</v>
      </c>
      <c r="B13" s="13"/>
      <c r="C13" s="13"/>
      <c r="D13" s="13"/>
      <c r="E13" s="13"/>
      <c r="F13" s="13"/>
      <c r="G13" s="13"/>
      <c r="H13" s="8"/>
      <c r="I13" s="1"/>
      <c r="J13" s="1"/>
    </row>
    <row r="14" spans="1:10">
      <c r="A14" s="6" t="s">
        <v>22</v>
      </c>
      <c r="B14" s="6" t="s">
        <v>23</v>
      </c>
      <c r="C14" s="6" t="s">
        <v>24</v>
      </c>
      <c r="D14" s="6" t="s">
        <v>25</v>
      </c>
      <c r="E14" s="6" t="s">
        <v>26</v>
      </c>
      <c r="F14" s="7" t="s">
        <v>27</v>
      </c>
      <c r="G14" s="7" t="s">
        <v>28</v>
      </c>
      <c r="H14" s="8"/>
      <c r="I14" s="1"/>
      <c r="J14" s="1"/>
    </row>
    <row r="15" spans="1:10">
      <c r="A15" s="9">
        <v>0</v>
      </c>
      <c r="B15" s="6">
        <v>0</v>
      </c>
      <c r="C15" s="7">
        <f>A15*1000</f>
        <v>0</v>
      </c>
      <c r="D15" s="7">
        <f>C15*$B$5^3/(48*$B$9*$B$10)</f>
        <v>0</v>
      </c>
      <c r="E15" s="7">
        <f>D15*1000</f>
        <v>0</v>
      </c>
      <c r="F15" s="10" t="str">
        <f>IF(A15=0,"No aplica",ABS(B15-E15)/E15)</f>
        <v>No aplica</v>
      </c>
      <c r="G15" s="10" t="str">
        <f>IF(A15=0,"No aplica",B15/A15)</f>
        <v>No aplica</v>
      </c>
      <c r="H15" s="8"/>
      <c r="I15" s="1"/>
      <c r="J15" s="1"/>
    </row>
    <row r="16" spans="1:10">
      <c r="A16" s="9">
        <v>5</v>
      </c>
      <c r="B16" s="9">
        <v>0.26</v>
      </c>
      <c r="C16" s="7">
        <f t="shared" ref="C16:C23" si="0">A16*1000</f>
        <v>5000</v>
      </c>
      <c r="D16" s="7">
        <f t="shared" ref="D16:D23" si="1">C16*$B$5^3/(48*$B$9*$B$10)</f>
        <v>2.4999999999999995E-4</v>
      </c>
      <c r="E16" s="7">
        <f>D16*1000</f>
        <v>0.24999999999999994</v>
      </c>
      <c r="F16" s="11">
        <f t="shared" ref="F16:F23" si="2">IF(A16=0,"No aplica",ABS(B16-E16)/E16)</f>
        <v>4.0000000000000265E-2</v>
      </c>
      <c r="G16" s="12">
        <f t="shared" ref="G16:G23" si="3">IF(A16=0,"No aplica",B16/A16)</f>
        <v>5.2000000000000005E-2</v>
      </c>
      <c r="H16" s="8"/>
      <c r="I16" s="1"/>
      <c r="J16" s="1"/>
    </row>
    <row r="17" spans="1:10">
      <c r="A17" s="9">
        <v>10</v>
      </c>
      <c r="B17" s="9">
        <v>0.5</v>
      </c>
      <c r="C17" s="7">
        <f t="shared" si="0"/>
        <v>10000</v>
      </c>
      <c r="D17" s="7">
        <f t="shared" si="1"/>
        <v>4.999999999999999E-4</v>
      </c>
      <c r="E17" s="7">
        <f t="shared" ref="E17:E23" si="4">D17*1000</f>
        <v>0.49999999999999989</v>
      </c>
      <c r="F17" s="11">
        <f t="shared" si="2"/>
        <v>2.2204460492503136E-16</v>
      </c>
      <c r="G17" s="12">
        <f t="shared" si="3"/>
        <v>0.05</v>
      </c>
      <c r="H17" s="8"/>
      <c r="I17" s="1"/>
      <c r="J17" s="1"/>
    </row>
    <row r="18" spans="1:10">
      <c r="A18" s="9">
        <v>15</v>
      </c>
      <c r="B18" s="9">
        <v>0.76</v>
      </c>
      <c r="C18" s="7">
        <f t="shared" si="0"/>
        <v>15000</v>
      </c>
      <c r="D18" s="7">
        <f t="shared" si="1"/>
        <v>7.4999999999999991E-4</v>
      </c>
      <c r="E18" s="7">
        <f t="shared" si="4"/>
        <v>0.74999999999999989</v>
      </c>
      <c r="F18" s="11">
        <f t="shared" si="2"/>
        <v>1.3333333333333496E-2</v>
      </c>
      <c r="G18" s="12">
        <f t="shared" si="3"/>
        <v>5.0666666666666665E-2</v>
      </c>
    </row>
    <row r="19" spans="1:10">
      <c r="A19" s="9">
        <v>20</v>
      </c>
      <c r="B19" s="9">
        <v>1.01</v>
      </c>
      <c r="C19" s="7">
        <f t="shared" si="0"/>
        <v>20000</v>
      </c>
      <c r="D19" s="7">
        <f t="shared" si="1"/>
        <v>9.999999999999998E-4</v>
      </c>
      <c r="E19" s="7">
        <f t="shared" si="4"/>
        <v>0.99999999999999978</v>
      </c>
      <c r="F19" s="11">
        <f t="shared" si="2"/>
        <v>1.0000000000000233E-2</v>
      </c>
      <c r="G19" s="12">
        <f t="shared" si="3"/>
        <v>5.0500000000000003E-2</v>
      </c>
    </row>
    <row r="20" spans="1:10">
      <c r="A20" s="9">
        <v>25</v>
      </c>
      <c r="B20" s="9">
        <v>1.28</v>
      </c>
      <c r="C20" s="7">
        <f t="shared" si="0"/>
        <v>25000</v>
      </c>
      <c r="D20" s="7">
        <f t="shared" si="1"/>
        <v>1.2499999999999998E-3</v>
      </c>
      <c r="E20" s="7">
        <f t="shared" si="4"/>
        <v>1.2499999999999998</v>
      </c>
      <c r="F20" s="11">
        <f t="shared" si="2"/>
        <v>2.4000000000000202E-2</v>
      </c>
      <c r="G20" s="12">
        <f t="shared" si="3"/>
        <v>5.1200000000000002E-2</v>
      </c>
    </row>
    <row r="21" spans="1:10">
      <c r="A21" s="9">
        <v>30</v>
      </c>
      <c r="B21" s="9">
        <v>1.54</v>
      </c>
      <c r="C21" s="7">
        <f t="shared" si="0"/>
        <v>30000</v>
      </c>
      <c r="D21" s="7">
        <f t="shared" si="1"/>
        <v>1.4999999999999998E-3</v>
      </c>
      <c r="E21" s="7">
        <f t="shared" si="4"/>
        <v>1.4999999999999998</v>
      </c>
      <c r="F21" s="11">
        <f t="shared" si="2"/>
        <v>2.6666666666666842E-2</v>
      </c>
      <c r="G21" s="12">
        <f t="shared" si="3"/>
        <v>5.1333333333333335E-2</v>
      </c>
    </row>
    <row r="22" spans="1:10">
      <c r="A22" s="9">
        <v>35</v>
      </c>
      <c r="B22" s="9">
        <v>1.77</v>
      </c>
      <c r="C22" s="7">
        <f t="shared" si="0"/>
        <v>35000</v>
      </c>
      <c r="D22" s="7">
        <f t="shared" si="1"/>
        <v>1.7499999999999996E-3</v>
      </c>
      <c r="E22" s="7">
        <f t="shared" si="4"/>
        <v>1.7499999999999996</v>
      </c>
      <c r="F22" s="11">
        <f t="shared" si="2"/>
        <v>1.1428571428571696E-2</v>
      </c>
      <c r="G22" s="12">
        <f t="shared" si="3"/>
        <v>5.0571428571428573E-2</v>
      </c>
    </row>
    <row r="23" spans="1:10">
      <c r="A23" s="9">
        <v>40</v>
      </c>
      <c r="B23" s="9">
        <v>2.0499999999999998</v>
      </c>
      <c r="C23" s="7">
        <f t="shared" si="0"/>
        <v>40000</v>
      </c>
      <c r="D23" s="7">
        <f t="shared" si="1"/>
        <v>1.9999999999999996E-3</v>
      </c>
      <c r="E23" s="7">
        <f t="shared" si="4"/>
        <v>1.9999999999999996</v>
      </c>
      <c r="F23" s="11">
        <f t="shared" si="2"/>
        <v>2.500000000000014E-2</v>
      </c>
      <c r="G23" s="12">
        <f t="shared" si="3"/>
        <v>5.1249999999999997E-2</v>
      </c>
    </row>
    <row r="26" spans="1:10">
      <c r="A26" s="16" t="s">
        <v>32</v>
      </c>
      <c r="B26" s="16"/>
    </row>
    <row r="27" spans="1:10" ht="89.25" customHeight="1">
      <c r="A27" s="15" t="s">
        <v>33</v>
      </c>
      <c r="B27" s="15"/>
    </row>
  </sheetData>
  <mergeCells count="4">
    <mergeCell ref="A13:G13"/>
    <mergeCell ref="I4:J4"/>
    <mergeCell ref="A27:B27"/>
    <mergeCell ref="A26:B26"/>
  </mergeCells>
  <pageMargins left="0.7" right="0.7" top="0.75" bottom="0.75" header="0.3" footer="0.3"/>
  <ignoredErrors>
    <ignoredError sqref="J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Catalán</dc:creator>
  <cp:lastModifiedBy>Emilio Catalán</cp:lastModifiedBy>
  <dcterms:created xsi:type="dcterms:W3CDTF">2026-09-28T23:01:52Z</dcterms:created>
  <dcterms:modified xsi:type="dcterms:W3CDTF">2026-09-29T01:16:32Z</dcterms:modified>
</cp:coreProperties>
</file>